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ACA\BI METAS E ACOMPANHAMENTO\VISÃO PARA A ÁREA 2026 - 2027\"/>
    </mc:Choice>
  </mc:AlternateContent>
  <xr:revisionPtr revIDLastSave="0" documentId="13_ncr:1_{81249408-7358-4375-AD9E-03CC120ED277}" xr6:coauthVersionLast="47" xr6:coauthVersionMax="47" xr10:uidLastSave="{00000000-0000-0000-0000-000000000000}"/>
  <bookViews>
    <workbookView xWindow="-105" yWindow="0" windowWidth="14610" windowHeight="15585" xr2:uid="{AF28A7F4-3A70-4350-B721-E9BE457B7268}"/>
  </bookViews>
  <sheets>
    <sheet name="2026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5" i="1" l="1"/>
  <c r="F65" i="1" s="1"/>
  <c r="E6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19" i="1"/>
  <c r="F20" i="1"/>
  <c r="F21" i="1"/>
  <c r="F22" i="1"/>
  <c r="F23" i="1"/>
  <c r="F24" i="1"/>
  <c r="F25" i="1"/>
  <c r="F18" i="1"/>
  <c r="F11" i="1"/>
  <c r="F12" i="1"/>
  <c r="F13" i="1"/>
  <c r="F14" i="1"/>
  <c r="F15" i="1"/>
  <c r="F16" i="1"/>
  <c r="F17" i="1"/>
  <c r="F10" i="1"/>
  <c r="F3" i="1"/>
  <c r="F4" i="1"/>
  <c r="F5" i="1"/>
  <c r="F6" i="1"/>
  <c r="F7" i="1"/>
  <c r="F8" i="1"/>
  <c r="F9" i="1"/>
  <c r="F2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E129" i="1"/>
  <c r="D129" i="1"/>
  <c r="D58" i="1"/>
  <c r="E58" i="1"/>
  <c r="D59" i="1"/>
  <c r="E59" i="1"/>
  <c r="D60" i="1"/>
  <c r="E60" i="1"/>
  <c r="D61" i="1"/>
  <c r="E61" i="1"/>
  <c r="D62" i="1"/>
  <c r="F62" i="1" s="1"/>
  <c r="E62" i="1"/>
  <c r="D63" i="1"/>
  <c r="F63" i="1" s="1"/>
  <c r="E63" i="1"/>
  <c r="D64" i="1"/>
  <c r="E64" i="1"/>
  <c r="F61" i="1" l="1"/>
  <c r="F60" i="1"/>
  <c r="F64" i="1"/>
  <c r="F59" i="1"/>
  <c r="F58" i="1"/>
</calcChain>
</file>

<file path=xl/sharedStrings.xml><?xml version="1.0" encoding="utf-8"?>
<sst xmlns="http://schemas.openxmlformats.org/spreadsheetml/2006/main" count="262" uniqueCount="23">
  <si>
    <t>TOPICO</t>
  </si>
  <si>
    <t>V. ALCANÇADO</t>
  </si>
  <si>
    <t>ANO</t>
  </si>
  <si>
    <t>UNIDADES</t>
  </si>
  <si>
    <t>ESTACA</t>
  </si>
  <si>
    <t>V. META</t>
  </si>
  <si>
    <t>Batismos de Conversos</t>
  </si>
  <si>
    <t>Recomendações para o Templo - Membros com Investidura</t>
  </si>
  <si>
    <t>Recomendações para o Templo - Membros sem Investidura</t>
  </si>
  <si>
    <t>PILAR</t>
  </si>
  <si>
    <t>recomendações para o Templo - Membros sem Investidura</t>
  </si>
  <si>
    <t>ALVORADA</t>
  </si>
  <si>
    <t>BARRA DE SÃO MIGUEL</t>
  </si>
  <si>
    <t>SÃO MIGUEL DOS CAMPOS</t>
  </si>
  <si>
    <t>PRADO</t>
  </si>
  <si>
    <t>TRAPICHE</t>
  </si>
  <si>
    <t>MARECHAL DEODORO</t>
  </si>
  <si>
    <t>Frequência da Reunião Sacramental</t>
  </si>
  <si>
    <t>Membros Participantes</t>
  </si>
  <si>
    <t>Membros Retornando</t>
  </si>
  <si>
    <t>Membros Jejuando</t>
  </si>
  <si>
    <t>Missionários Servindo do Brasil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</si>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</sst>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1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" fontId="0" fillId="2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1" fontId="0" fillId="2" borderId="7" xfId="0" applyNumberFormat="1" applyFill="1" applyBorder="1"/>
    <xf numFmtId="0" fontId="0" fillId="2" borderId="8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0" fillId="0" borderId="4" xfId="0" applyNumberFormat="1" applyBorder="1"/>
    <xf numFmtId="1" fontId="0" fillId="0" borderId="7" xfId="0" applyNumberFormat="1" applyBorder="1"/>
    <xf numFmtId="1" fontId="0" fillId="0" borderId="1" xfId="0" applyNumberFormat="1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1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" fontId="0" fillId="4" borderId="1" xfId="0" applyNumberFormat="1" applyFill="1" applyBorder="1"/>
    <xf numFmtId="0" fontId="0" fillId="4" borderId="2" xfId="0" applyFill="1" applyBorder="1"/>
    <xf numFmtId="0" fontId="0" fillId="4" borderId="3" xfId="0" applyFill="1" applyBorder="1"/>
    <xf numFmtId="1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1" fontId="0" fillId="4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1" fontId="0" fillId="5" borderId="1" xfId="0" applyNumberFormat="1" applyFill="1" applyBorder="1"/>
    <xf numFmtId="0" fontId="0" fillId="5" borderId="2" xfId="0" applyFill="1" applyBorder="1"/>
    <xf numFmtId="0" fontId="0" fillId="5" borderId="3" xfId="0" applyFill="1" applyBorder="1"/>
    <xf numFmtId="1" fontId="0" fillId="5" borderId="4" xfId="0" applyNumberFormat="1" applyFill="1" applyBorder="1"/>
    <xf numFmtId="0" fontId="0" fillId="5" borderId="5" xfId="0" applyFill="1" applyBorder="1"/>
    <xf numFmtId="0" fontId="0" fillId="5" borderId="6" xfId="0" applyFill="1" applyBorder="1"/>
    <xf numFmtId="1" fontId="0" fillId="5" borderId="7" xfId="0" applyNumberFormat="1" applyFill="1" applyBorder="1"/>
    <xf numFmtId="0" fontId="0" fillId="5" borderId="8" xfId="0" applyFill="1" applyBorder="1"/>
    <xf numFmtId="0" fontId="0" fillId="5" borderId="9" xfId="0" applyFill="1" applyBorder="1"/>
    <xf numFmtId="1" fontId="0" fillId="6" borderId="1" xfId="0" applyNumberFormat="1" applyFill="1" applyBorder="1"/>
    <xf numFmtId="0" fontId="0" fillId="6" borderId="2" xfId="0" applyFill="1" applyBorder="1"/>
    <xf numFmtId="0" fontId="0" fillId="6" borderId="3" xfId="0" applyFill="1" applyBorder="1"/>
    <xf numFmtId="1" fontId="0" fillId="6" borderId="4" xfId="0" applyNumberFormat="1" applyFill="1" applyBorder="1"/>
    <xf numFmtId="0" fontId="0" fillId="6" borderId="5" xfId="0" applyFill="1" applyBorder="1"/>
    <xf numFmtId="0" fontId="0" fillId="6" borderId="6" xfId="0" applyFill="1" applyBorder="1"/>
    <xf numFmtId="1" fontId="0" fillId="6" borderId="7" xfId="0" applyNumberFormat="1" applyFill="1" applyBorder="1"/>
    <xf numFmtId="0" fontId="0" fillId="6" borderId="8" xfId="0" applyFill="1" applyBorder="1"/>
    <xf numFmtId="0" fontId="0" fillId="6" borderId="9" xfId="0" applyFill="1" applyBorder="1"/>
    <xf numFmtId="1" fontId="0" fillId="7" borderId="4" xfId="0" applyNumberFormat="1" applyFill="1" applyBorder="1"/>
    <xf numFmtId="0" fontId="0" fillId="7" borderId="5" xfId="0" applyFill="1" applyBorder="1"/>
    <xf numFmtId="0" fontId="0" fillId="7" borderId="6" xfId="0" applyFill="1" applyBorder="1"/>
    <xf numFmtId="1" fontId="0" fillId="8" borderId="1" xfId="0" applyNumberFormat="1" applyFill="1" applyBorder="1"/>
    <xf numFmtId="0" fontId="0" fillId="8" borderId="2" xfId="0" applyFill="1" applyBorder="1"/>
    <xf numFmtId="0" fontId="0" fillId="8" borderId="3" xfId="0" applyFill="1" applyBorder="1"/>
    <xf numFmtId="1" fontId="0" fillId="8" borderId="4" xfId="0" applyNumberFormat="1" applyFill="1" applyBorder="1"/>
    <xf numFmtId="0" fontId="0" fillId="8" borderId="5" xfId="0" applyFill="1" applyBorder="1"/>
    <xf numFmtId="0" fontId="0" fillId="8" borderId="6" xfId="0" applyFill="1" applyBorder="1"/>
    <xf numFmtId="1" fontId="0" fillId="8" borderId="7" xfId="0" applyNumberFormat="1" applyFill="1" applyBorder="1"/>
    <xf numFmtId="0" fontId="0" fillId="8" borderId="8" xfId="0" applyFill="1" applyBorder="1"/>
    <xf numFmtId="0" fontId="0" fillId="8" borderId="9" xfId="0" applyFill="1" applyBorder="1"/>
    <xf numFmtId="1" fontId="0" fillId="9" borderId="1" xfId="0" applyNumberFormat="1" applyFill="1" applyBorder="1"/>
    <xf numFmtId="0" fontId="0" fillId="9" borderId="2" xfId="0" applyFill="1" applyBorder="1"/>
    <xf numFmtId="0" fontId="0" fillId="9" borderId="3" xfId="0" applyFill="1" applyBorder="1"/>
    <xf numFmtId="1" fontId="0" fillId="9" borderId="4" xfId="0" applyNumberFormat="1" applyFill="1" applyBorder="1"/>
    <xf numFmtId="0" fontId="0" fillId="9" borderId="5" xfId="0" applyFill="1" applyBorder="1"/>
    <xf numFmtId="0" fontId="0" fillId="9" borderId="6" xfId="0" applyFill="1" applyBorder="1"/>
    <xf numFmtId="1" fontId="0" fillId="9" borderId="7" xfId="0" applyNumberFormat="1" applyFill="1" applyBorder="1"/>
    <xf numFmtId="0" fontId="0" fillId="9" borderId="8" xfId="0" applyFill="1" applyBorder="1"/>
    <xf numFmtId="0" fontId="0" fillId="9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" fontId="0" fillId="7" borderId="15" xfId="0" applyNumberFormat="1" applyFill="1" applyBorder="1"/>
    <xf numFmtId="0" fontId="0" fillId="7" borderId="13" xfId="0" applyFill="1" applyBorder="1"/>
    <xf numFmtId="0" fontId="0" fillId="3" borderId="13" xfId="0" applyFill="1" applyBorder="1"/>
    <xf numFmtId="0" fontId="1" fillId="0" borderId="10" xfId="0" applyFont="1" applyBorder="1" applyAlignment="1">
      <alignment horizontal="center" vertical="center"/>
    </xf>
    <xf numFmtId="0" fontId="0" fillId="7" borderId="11" xfId="0" applyFill="1" applyBorder="1"/>
    <xf numFmtId="0" fontId="0" fillId="7" borderId="1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6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0220-435A-457F-9268-B5B862FCBE35}">
  <dimension ref="A1:F130"/>
  <sheetViews>
    <sheetView tabSelected="1" topLeftCell="A48" workbookViewId="0">
      <selection activeCell="C62" sqref="C62"/>
    </sheetView>
  </sheetViews>
  <sheetFormatPr defaultRowHeight="15" x14ac:dyDescent="0.25"/>
  <cols>
    <col min="1" max="1" width="5" bestFit="1" customWidth="1"/>
    <col min="2" max="2" width="24" bestFit="1" customWidth="1"/>
    <col min="3" max="3" width="54.7109375" bestFit="1" customWidth="1"/>
    <col min="4" max="4" width="7.85546875" bestFit="1" customWidth="1"/>
    <col min="5" max="5" width="14" bestFit="1" customWidth="1"/>
  </cols>
  <sheetData>
    <row r="1" spans="1:6" ht="15.75" thickTop="1" x14ac:dyDescent="0.25">
      <c r="A1" s="14" t="s">
        <v>2</v>
      </c>
      <c r="B1" s="15" t="s">
        <v>3</v>
      </c>
      <c r="C1" s="15" t="s">
        <v>0</v>
      </c>
      <c r="D1" s="15" t="s">
        <v>5</v>
      </c>
      <c r="E1" s="82" t="s">
        <v>1</v>
      </c>
      <c r="F1" s="103" t="s">
        <v>22</v>
      </c>
    </row>
    <row r="2" spans="1:6" x14ac:dyDescent="0.25">
      <c r="A2" s="55">
        <v>2026</v>
      </c>
      <c r="B2" s="56" t="s">
        <v>11</v>
      </c>
      <c r="C2" s="56" t="s">
        <v>17</v>
      </c>
      <c r="D2" s="56">
        <v>100</v>
      </c>
      <c r="E2" s="83">
        <v>62</v>
      </c>
      <c r="F2" s="57">
        <f>D2-E2</f>
        <v>38</v>
      </c>
    </row>
    <row r="3" spans="1:6" x14ac:dyDescent="0.25">
      <c r="A3" s="55">
        <v>2026</v>
      </c>
      <c r="B3" s="56" t="s">
        <v>11</v>
      </c>
      <c r="C3" s="56" t="s">
        <v>18</v>
      </c>
      <c r="D3" s="56">
        <v>100</v>
      </c>
      <c r="E3" s="83">
        <v>93</v>
      </c>
      <c r="F3" s="57">
        <f t="shared" ref="F3:F9" si="0">D3-E3</f>
        <v>7</v>
      </c>
    </row>
    <row r="4" spans="1:6" x14ac:dyDescent="0.25">
      <c r="A4" s="55">
        <v>2026</v>
      </c>
      <c r="B4" s="56" t="s">
        <v>11</v>
      </c>
      <c r="C4" s="56" t="s">
        <v>19</v>
      </c>
      <c r="D4" s="56">
        <v>5</v>
      </c>
      <c r="E4" s="83">
        <v>0</v>
      </c>
      <c r="F4" s="57">
        <f t="shared" si="0"/>
        <v>5</v>
      </c>
    </row>
    <row r="5" spans="1:6" x14ac:dyDescent="0.25">
      <c r="A5" s="55">
        <v>2026</v>
      </c>
      <c r="B5" s="56" t="s">
        <v>11</v>
      </c>
      <c r="C5" s="56" t="s">
        <v>20</v>
      </c>
      <c r="D5" s="56">
        <v>50</v>
      </c>
      <c r="E5" s="83">
        <v>18</v>
      </c>
      <c r="F5" s="57">
        <f t="shared" si="0"/>
        <v>32</v>
      </c>
    </row>
    <row r="6" spans="1:6" x14ac:dyDescent="0.25">
      <c r="A6" s="55">
        <v>2026</v>
      </c>
      <c r="B6" s="56" t="s">
        <v>11</v>
      </c>
      <c r="C6" s="56" t="s">
        <v>6</v>
      </c>
      <c r="D6" s="56">
        <v>12</v>
      </c>
      <c r="E6" s="83">
        <v>7</v>
      </c>
      <c r="F6" s="57">
        <f t="shared" si="0"/>
        <v>5</v>
      </c>
    </row>
    <row r="7" spans="1:6" x14ac:dyDescent="0.25">
      <c r="A7" s="55">
        <v>2026</v>
      </c>
      <c r="B7" s="56" t="s">
        <v>11</v>
      </c>
      <c r="C7" s="56" t="s">
        <v>21</v>
      </c>
      <c r="D7" s="56">
        <v>4</v>
      </c>
      <c r="E7" s="83">
        <v>3</v>
      </c>
      <c r="F7" s="57">
        <f t="shared" si="0"/>
        <v>1</v>
      </c>
    </row>
    <row r="8" spans="1:6" x14ac:dyDescent="0.25">
      <c r="A8" s="55">
        <v>2026</v>
      </c>
      <c r="B8" s="56" t="s">
        <v>11</v>
      </c>
      <c r="C8" s="56" t="s">
        <v>7</v>
      </c>
      <c r="D8" s="56">
        <v>60</v>
      </c>
      <c r="E8" s="83">
        <v>45</v>
      </c>
      <c r="F8" s="57">
        <f t="shared" si="0"/>
        <v>15</v>
      </c>
    </row>
    <row r="9" spans="1:6" ht="15.75" thickBot="1" x14ac:dyDescent="0.3">
      <c r="A9" s="79">
        <v>2026</v>
      </c>
      <c r="B9" s="56" t="s">
        <v>11</v>
      </c>
      <c r="C9" s="80" t="s">
        <v>10</v>
      </c>
      <c r="D9" s="80">
        <v>25</v>
      </c>
      <c r="E9" s="84">
        <v>14</v>
      </c>
      <c r="F9" s="57">
        <f t="shared" si="0"/>
        <v>11</v>
      </c>
    </row>
    <row r="10" spans="1:6" ht="15.75" thickTop="1" x14ac:dyDescent="0.25">
      <c r="A10" s="22">
        <v>2026</v>
      </c>
      <c r="B10" s="23" t="s">
        <v>12</v>
      </c>
      <c r="C10" s="23" t="s">
        <v>17</v>
      </c>
      <c r="D10" s="23">
        <v>70</v>
      </c>
      <c r="E10" s="85">
        <v>0</v>
      </c>
      <c r="F10" s="24">
        <f>D10-E10</f>
        <v>70</v>
      </c>
    </row>
    <row r="11" spans="1:6" x14ac:dyDescent="0.25">
      <c r="A11" s="25">
        <v>2026</v>
      </c>
      <c r="B11" s="26" t="s">
        <v>12</v>
      </c>
      <c r="C11" s="26" t="s">
        <v>18</v>
      </c>
      <c r="D11" s="26">
        <v>70</v>
      </c>
      <c r="E11" s="86">
        <v>46</v>
      </c>
      <c r="F11" s="27">
        <f t="shared" ref="F11:F17" si="1">D11-E11</f>
        <v>24</v>
      </c>
    </row>
    <row r="12" spans="1:6" x14ac:dyDescent="0.25">
      <c r="A12" s="25">
        <v>2026</v>
      </c>
      <c r="B12" s="26" t="s">
        <v>12</v>
      </c>
      <c r="C12" s="26" t="s">
        <v>19</v>
      </c>
      <c r="D12" s="26">
        <v>50</v>
      </c>
      <c r="E12" s="86">
        <v>0</v>
      </c>
      <c r="F12" s="27">
        <f t="shared" si="1"/>
        <v>50</v>
      </c>
    </row>
    <row r="13" spans="1:6" x14ac:dyDescent="0.25">
      <c r="A13" s="25">
        <v>2026</v>
      </c>
      <c r="B13" s="26" t="s">
        <v>12</v>
      </c>
      <c r="C13" s="26" t="s">
        <v>20</v>
      </c>
      <c r="D13" s="26">
        <v>20</v>
      </c>
      <c r="E13" s="86">
        <v>5</v>
      </c>
      <c r="F13" s="27">
        <f t="shared" si="1"/>
        <v>15</v>
      </c>
    </row>
    <row r="14" spans="1:6" x14ac:dyDescent="0.25">
      <c r="A14" s="25">
        <v>2026</v>
      </c>
      <c r="B14" s="26" t="s">
        <v>12</v>
      </c>
      <c r="C14" s="26" t="s">
        <v>6</v>
      </c>
      <c r="D14" s="26">
        <v>24</v>
      </c>
      <c r="E14" s="86">
        <v>9</v>
      </c>
      <c r="F14" s="27">
        <f t="shared" si="1"/>
        <v>15</v>
      </c>
    </row>
    <row r="15" spans="1:6" x14ac:dyDescent="0.25">
      <c r="A15" s="25">
        <v>2026</v>
      </c>
      <c r="B15" s="26" t="s">
        <v>12</v>
      </c>
      <c r="C15" s="26" t="s">
        <v>21</v>
      </c>
      <c r="D15" s="26">
        <v>2</v>
      </c>
      <c r="E15" s="86">
        <v>0</v>
      </c>
      <c r="F15" s="27">
        <f t="shared" si="1"/>
        <v>2</v>
      </c>
    </row>
    <row r="16" spans="1:6" x14ac:dyDescent="0.25">
      <c r="A16" s="25">
        <v>2026</v>
      </c>
      <c r="B16" s="26" t="s">
        <v>12</v>
      </c>
      <c r="C16" s="26" t="s">
        <v>7</v>
      </c>
      <c r="D16" s="26">
        <v>20</v>
      </c>
      <c r="E16" s="86">
        <v>19</v>
      </c>
      <c r="F16" s="27">
        <f t="shared" si="1"/>
        <v>1</v>
      </c>
    </row>
    <row r="17" spans="1:6" ht="15.75" thickBot="1" x14ac:dyDescent="0.3">
      <c r="A17" s="25">
        <v>2026</v>
      </c>
      <c r="B17" s="26" t="s">
        <v>12</v>
      </c>
      <c r="C17" s="81" t="s">
        <v>8</v>
      </c>
      <c r="D17" s="81">
        <v>20</v>
      </c>
      <c r="E17" s="87">
        <v>9</v>
      </c>
      <c r="F17" s="27">
        <f t="shared" si="1"/>
        <v>11</v>
      </c>
    </row>
    <row r="18" spans="1:6" ht="15.75" thickTop="1" x14ac:dyDescent="0.25">
      <c r="A18" s="28">
        <v>2026</v>
      </c>
      <c r="B18" s="29" t="s">
        <v>13</v>
      </c>
      <c r="C18" s="29" t="s">
        <v>17</v>
      </c>
      <c r="D18" s="29">
        <v>105</v>
      </c>
      <c r="E18" s="88">
        <v>61</v>
      </c>
      <c r="F18" s="30">
        <f>D18-E18</f>
        <v>44</v>
      </c>
    </row>
    <row r="19" spans="1:6" x14ac:dyDescent="0.25">
      <c r="A19" s="31">
        <v>2026</v>
      </c>
      <c r="B19" s="32" t="s">
        <v>13</v>
      </c>
      <c r="C19" s="32" t="s">
        <v>18</v>
      </c>
      <c r="D19" s="32">
        <v>97</v>
      </c>
      <c r="E19" s="89">
        <v>105</v>
      </c>
      <c r="F19" s="33">
        <f t="shared" ref="F19:F65" si="2">D19-E19</f>
        <v>-8</v>
      </c>
    </row>
    <row r="20" spans="1:6" x14ac:dyDescent="0.25">
      <c r="A20" s="31">
        <v>2026</v>
      </c>
      <c r="B20" s="32" t="s">
        <v>13</v>
      </c>
      <c r="C20" s="32" t="s">
        <v>19</v>
      </c>
      <c r="D20" s="32">
        <v>15</v>
      </c>
      <c r="E20" s="89">
        <v>0</v>
      </c>
      <c r="F20" s="33">
        <f t="shared" si="2"/>
        <v>15</v>
      </c>
    </row>
    <row r="21" spans="1:6" x14ac:dyDescent="0.25">
      <c r="A21" s="31">
        <v>2026</v>
      </c>
      <c r="B21" s="32" t="s">
        <v>13</v>
      </c>
      <c r="C21" s="32" t="s">
        <v>20</v>
      </c>
      <c r="D21" s="32">
        <v>40</v>
      </c>
      <c r="E21" s="89">
        <v>9</v>
      </c>
      <c r="F21" s="33">
        <f t="shared" si="2"/>
        <v>31</v>
      </c>
    </row>
    <row r="22" spans="1:6" x14ac:dyDescent="0.25">
      <c r="A22" s="31">
        <v>2026</v>
      </c>
      <c r="B22" s="32" t="s">
        <v>13</v>
      </c>
      <c r="C22" s="32" t="s">
        <v>6</v>
      </c>
      <c r="D22" s="32">
        <v>24</v>
      </c>
      <c r="E22" s="89">
        <v>12</v>
      </c>
      <c r="F22" s="33">
        <f t="shared" si="2"/>
        <v>12</v>
      </c>
    </row>
    <row r="23" spans="1:6" x14ac:dyDescent="0.25">
      <c r="A23" s="31">
        <v>2026</v>
      </c>
      <c r="B23" s="32" t="s">
        <v>13</v>
      </c>
      <c r="C23" s="32" t="s">
        <v>21</v>
      </c>
      <c r="D23" s="32">
        <v>6</v>
      </c>
      <c r="E23" s="89">
        <v>4</v>
      </c>
      <c r="F23" s="33">
        <f t="shared" si="2"/>
        <v>2</v>
      </c>
    </row>
    <row r="24" spans="1:6" x14ac:dyDescent="0.25">
      <c r="A24" s="31">
        <v>2026</v>
      </c>
      <c r="B24" s="32" t="s">
        <v>13</v>
      </c>
      <c r="C24" s="32" t="s">
        <v>7</v>
      </c>
      <c r="D24" s="32">
        <v>45</v>
      </c>
      <c r="E24" s="89">
        <v>33</v>
      </c>
      <c r="F24" s="33">
        <f t="shared" si="2"/>
        <v>12</v>
      </c>
    </row>
    <row r="25" spans="1:6" ht="15.75" thickBot="1" x14ac:dyDescent="0.3">
      <c r="A25" s="34">
        <v>2026</v>
      </c>
      <c r="B25" s="32" t="s">
        <v>13</v>
      </c>
      <c r="C25" s="35" t="s">
        <v>8</v>
      </c>
      <c r="D25" s="35">
        <v>35</v>
      </c>
      <c r="E25" s="90">
        <v>14</v>
      </c>
      <c r="F25" s="36">
        <f t="shared" si="2"/>
        <v>21</v>
      </c>
    </row>
    <row r="26" spans="1:6" ht="15.75" thickTop="1" x14ac:dyDescent="0.25">
      <c r="A26" s="37">
        <v>2026</v>
      </c>
      <c r="B26" s="38" t="s">
        <v>14</v>
      </c>
      <c r="C26" s="38" t="s">
        <v>17</v>
      </c>
      <c r="D26" s="38">
        <v>100</v>
      </c>
      <c r="E26" s="91">
        <v>63</v>
      </c>
      <c r="F26" s="39">
        <f t="shared" si="2"/>
        <v>37</v>
      </c>
    </row>
    <row r="27" spans="1:6" x14ac:dyDescent="0.25">
      <c r="A27" s="40">
        <v>2026</v>
      </c>
      <c r="B27" s="41" t="s">
        <v>14</v>
      </c>
      <c r="C27" s="41" t="s">
        <v>18</v>
      </c>
      <c r="D27" s="41">
        <v>100</v>
      </c>
      <c r="E27" s="92">
        <v>91</v>
      </c>
      <c r="F27" s="42">
        <f t="shared" si="2"/>
        <v>9</v>
      </c>
    </row>
    <row r="28" spans="1:6" x14ac:dyDescent="0.25">
      <c r="A28" s="40">
        <v>2026</v>
      </c>
      <c r="B28" s="41" t="s">
        <v>14</v>
      </c>
      <c r="C28" s="41" t="s">
        <v>19</v>
      </c>
      <c r="D28" s="41">
        <v>15</v>
      </c>
      <c r="E28" s="92">
        <v>0</v>
      </c>
      <c r="F28" s="42">
        <f t="shared" si="2"/>
        <v>15</v>
      </c>
    </row>
    <row r="29" spans="1:6" x14ac:dyDescent="0.25">
      <c r="A29" s="40">
        <v>2026</v>
      </c>
      <c r="B29" s="41" t="s">
        <v>14</v>
      </c>
      <c r="C29" s="41" t="s">
        <v>20</v>
      </c>
      <c r="D29" s="41">
        <v>40</v>
      </c>
      <c r="E29" s="92">
        <v>21</v>
      </c>
      <c r="F29" s="42">
        <f t="shared" si="2"/>
        <v>19</v>
      </c>
    </row>
    <row r="30" spans="1:6" x14ac:dyDescent="0.25">
      <c r="A30" s="40">
        <v>2026</v>
      </c>
      <c r="B30" s="41" t="s">
        <v>14</v>
      </c>
      <c r="C30" s="41" t="s">
        <v>6</v>
      </c>
      <c r="D30" s="41">
        <v>12</v>
      </c>
      <c r="E30" s="92">
        <v>1</v>
      </c>
      <c r="F30" s="42">
        <f t="shared" si="2"/>
        <v>11</v>
      </c>
    </row>
    <row r="31" spans="1:6" x14ac:dyDescent="0.25">
      <c r="A31" s="40">
        <v>2026</v>
      </c>
      <c r="B31" s="41" t="s">
        <v>14</v>
      </c>
      <c r="C31" s="41" t="s">
        <v>21</v>
      </c>
      <c r="D31" s="41">
        <v>4</v>
      </c>
      <c r="E31" s="92">
        <v>0</v>
      </c>
      <c r="F31" s="42">
        <f t="shared" si="2"/>
        <v>4</v>
      </c>
    </row>
    <row r="32" spans="1:6" x14ac:dyDescent="0.25">
      <c r="A32" s="40">
        <v>2026</v>
      </c>
      <c r="B32" s="41" t="s">
        <v>14</v>
      </c>
      <c r="C32" s="41" t="s">
        <v>7</v>
      </c>
      <c r="D32" s="41">
        <v>50</v>
      </c>
      <c r="E32" s="92">
        <v>45</v>
      </c>
      <c r="F32" s="42">
        <f t="shared" si="2"/>
        <v>5</v>
      </c>
    </row>
    <row r="33" spans="1:6" ht="15.75" thickBot="1" x14ac:dyDescent="0.3">
      <c r="A33" s="43">
        <v>2026</v>
      </c>
      <c r="B33" s="41" t="s">
        <v>14</v>
      </c>
      <c r="C33" s="44" t="s">
        <v>8</v>
      </c>
      <c r="D33" s="44">
        <v>20</v>
      </c>
      <c r="E33" s="93">
        <v>9</v>
      </c>
      <c r="F33" s="45">
        <f t="shared" si="2"/>
        <v>11</v>
      </c>
    </row>
    <row r="34" spans="1:6" ht="15.75" thickTop="1" x14ac:dyDescent="0.25">
      <c r="A34" s="46">
        <v>2026</v>
      </c>
      <c r="B34" s="47" t="s">
        <v>15</v>
      </c>
      <c r="C34" s="47" t="s">
        <v>17</v>
      </c>
      <c r="D34" s="47">
        <v>120</v>
      </c>
      <c r="E34" s="94">
        <v>84</v>
      </c>
      <c r="F34" s="48">
        <f t="shared" si="2"/>
        <v>36</v>
      </c>
    </row>
    <row r="35" spans="1:6" x14ac:dyDescent="0.25">
      <c r="A35" s="49">
        <v>2026</v>
      </c>
      <c r="B35" s="50" t="s">
        <v>15</v>
      </c>
      <c r="C35" s="50" t="s">
        <v>18</v>
      </c>
      <c r="D35" s="50">
        <v>140</v>
      </c>
      <c r="E35" s="95">
        <v>107</v>
      </c>
      <c r="F35" s="51">
        <f t="shared" si="2"/>
        <v>33</v>
      </c>
    </row>
    <row r="36" spans="1:6" x14ac:dyDescent="0.25">
      <c r="A36" s="49">
        <v>2026</v>
      </c>
      <c r="B36" s="50" t="s">
        <v>15</v>
      </c>
      <c r="C36" s="50" t="s">
        <v>19</v>
      </c>
      <c r="D36" s="50">
        <v>30</v>
      </c>
      <c r="E36" s="95">
        <v>0</v>
      </c>
      <c r="F36" s="51">
        <f t="shared" si="2"/>
        <v>30</v>
      </c>
    </row>
    <row r="37" spans="1:6" x14ac:dyDescent="0.25">
      <c r="A37" s="49">
        <v>2026</v>
      </c>
      <c r="B37" s="50" t="s">
        <v>15</v>
      </c>
      <c r="C37" s="50" t="s">
        <v>20</v>
      </c>
      <c r="D37" s="50">
        <v>27</v>
      </c>
      <c r="E37" s="95">
        <v>9</v>
      </c>
      <c r="F37" s="51">
        <f t="shared" si="2"/>
        <v>18</v>
      </c>
    </row>
    <row r="38" spans="1:6" x14ac:dyDescent="0.25">
      <c r="A38" s="49">
        <v>2026</v>
      </c>
      <c r="B38" s="50" t="s">
        <v>15</v>
      </c>
      <c r="C38" s="50" t="s">
        <v>6</v>
      </c>
      <c r="D38" s="50">
        <v>20</v>
      </c>
      <c r="E38" s="95">
        <v>3</v>
      </c>
      <c r="F38" s="51">
        <f t="shared" si="2"/>
        <v>17</v>
      </c>
    </row>
    <row r="39" spans="1:6" x14ac:dyDescent="0.25">
      <c r="A39" s="49">
        <v>2026</v>
      </c>
      <c r="B39" s="50" t="s">
        <v>15</v>
      </c>
      <c r="C39" s="50" t="s">
        <v>21</v>
      </c>
      <c r="D39" s="50">
        <v>3</v>
      </c>
      <c r="E39" s="95">
        <v>5</v>
      </c>
      <c r="F39" s="51">
        <f t="shared" si="2"/>
        <v>-2</v>
      </c>
    </row>
    <row r="40" spans="1:6" x14ac:dyDescent="0.25">
      <c r="A40" s="49">
        <v>2026</v>
      </c>
      <c r="B40" s="50" t="s">
        <v>15</v>
      </c>
      <c r="C40" s="50" t="s">
        <v>7</v>
      </c>
      <c r="D40" s="50">
        <v>56</v>
      </c>
      <c r="E40" s="95">
        <v>53</v>
      </c>
      <c r="F40" s="51">
        <f t="shared" si="2"/>
        <v>3</v>
      </c>
    </row>
    <row r="41" spans="1:6" ht="15.75" thickBot="1" x14ac:dyDescent="0.3">
      <c r="A41" s="52">
        <v>2026</v>
      </c>
      <c r="B41" s="50" t="s">
        <v>15</v>
      </c>
      <c r="C41" s="53" t="s">
        <v>8</v>
      </c>
      <c r="D41" s="53">
        <v>35</v>
      </c>
      <c r="E41" s="96">
        <v>19</v>
      </c>
      <c r="F41" s="54">
        <f t="shared" si="2"/>
        <v>16</v>
      </c>
    </row>
    <row r="42" spans="1:6" ht="15.75" thickTop="1" x14ac:dyDescent="0.25">
      <c r="A42" s="58">
        <v>2026</v>
      </c>
      <c r="B42" s="59" t="s">
        <v>9</v>
      </c>
      <c r="C42" s="59" t="s">
        <v>17</v>
      </c>
      <c r="D42" s="59">
        <v>80</v>
      </c>
      <c r="E42" s="97">
        <v>33</v>
      </c>
      <c r="F42" s="60">
        <f t="shared" si="2"/>
        <v>47</v>
      </c>
    </row>
    <row r="43" spans="1:6" x14ac:dyDescent="0.25">
      <c r="A43" s="61">
        <v>2026</v>
      </c>
      <c r="B43" s="62" t="s">
        <v>9</v>
      </c>
      <c r="C43" s="62" t="s">
        <v>18</v>
      </c>
      <c r="D43" s="62">
        <v>30</v>
      </c>
      <c r="E43" s="98">
        <v>45</v>
      </c>
      <c r="F43" s="63">
        <f t="shared" si="2"/>
        <v>-15</v>
      </c>
    </row>
    <row r="44" spans="1:6" x14ac:dyDescent="0.25">
      <c r="A44" s="61">
        <v>2026</v>
      </c>
      <c r="B44" s="62" t="s">
        <v>9</v>
      </c>
      <c r="C44" s="62" t="s">
        <v>19</v>
      </c>
      <c r="D44" s="62">
        <v>10</v>
      </c>
      <c r="E44" s="98">
        <v>0</v>
      </c>
      <c r="F44" s="63">
        <f t="shared" si="2"/>
        <v>10</v>
      </c>
    </row>
    <row r="45" spans="1:6" x14ac:dyDescent="0.25">
      <c r="A45" s="61">
        <v>2026</v>
      </c>
      <c r="B45" s="62" t="s">
        <v>9</v>
      </c>
      <c r="C45" s="62" t="s">
        <v>20</v>
      </c>
      <c r="D45" s="62">
        <v>40</v>
      </c>
      <c r="E45" s="98">
        <v>5</v>
      </c>
      <c r="F45" s="63">
        <f t="shared" si="2"/>
        <v>35</v>
      </c>
    </row>
    <row r="46" spans="1:6" x14ac:dyDescent="0.25">
      <c r="A46" s="61">
        <v>2026</v>
      </c>
      <c r="B46" s="62" t="s">
        <v>9</v>
      </c>
      <c r="C46" s="62" t="s">
        <v>6</v>
      </c>
      <c r="D46" s="62">
        <v>30</v>
      </c>
      <c r="E46" s="98">
        <v>6</v>
      </c>
      <c r="F46" s="63">
        <f t="shared" si="2"/>
        <v>24</v>
      </c>
    </row>
    <row r="47" spans="1:6" x14ac:dyDescent="0.25">
      <c r="A47" s="61">
        <v>2026</v>
      </c>
      <c r="B47" s="62" t="s">
        <v>9</v>
      </c>
      <c r="C47" s="62" t="s">
        <v>21</v>
      </c>
      <c r="D47" s="62">
        <v>5</v>
      </c>
      <c r="E47" s="98">
        <v>1</v>
      </c>
      <c r="F47" s="63">
        <f t="shared" si="2"/>
        <v>4</v>
      </c>
    </row>
    <row r="48" spans="1:6" x14ac:dyDescent="0.25">
      <c r="A48" s="61">
        <v>2026</v>
      </c>
      <c r="B48" s="62" t="s">
        <v>9</v>
      </c>
      <c r="C48" s="62" t="s">
        <v>7</v>
      </c>
      <c r="D48" s="62">
        <v>15</v>
      </c>
      <c r="E48" s="98">
        <v>14</v>
      </c>
      <c r="F48" s="63">
        <f t="shared" si="2"/>
        <v>1</v>
      </c>
    </row>
    <row r="49" spans="1:6" ht="15.75" thickBot="1" x14ac:dyDescent="0.3">
      <c r="A49" s="64">
        <v>2026</v>
      </c>
      <c r="B49" s="65" t="s">
        <v>9</v>
      </c>
      <c r="C49" s="65" t="s">
        <v>8</v>
      </c>
      <c r="D49" s="65">
        <v>30</v>
      </c>
      <c r="E49" s="99">
        <v>7</v>
      </c>
      <c r="F49" s="66">
        <f t="shared" si="2"/>
        <v>23</v>
      </c>
    </row>
    <row r="50" spans="1:6" ht="15.75" thickTop="1" x14ac:dyDescent="0.25">
      <c r="A50" s="67">
        <v>2026</v>
      </c>
      <c r="B50" s="68" t="s">
        <v>16</v>
      </c>
      <c r="C50" s="68" t="s">
        <v>17</v>
      </c>
      <c r="D50" s="68">
        <v>100</v>
      </c>
      <c r="E50" s="100">
        <v>67</v>
      </c>
      <c r="F50" s="69">
        <f t="shared" si="2"/>
        <v>33</v>
      </c>
    </row>
    <row r="51" spans="1:6" x14ac:dyDescent="0.25">
      <c r="A51" s="70">
        <v>2026</v>
      </c>
      <c r="B51" s="71" t="s">
        <v>16</v>
      </c>
      <c r="C51" s="71" t="s">
        <v>18</v>
      </c>
      <c r="D51" s="71">
        <v>115</v>
      </c>
      <c r="E51" s="101">
        <v>96</v>
      </c>
      <c r="F51" s="72">
        <f t="shared" si="2"/>
        <v>19</v>
      </c>
    </row>
    <row r="52" spans="1:6" x14ac:dyDescent="0.25">
      <c r="A52" s="70">
        <v>2026</v>
      </c>
      <c r="B52" s="71" t="s">
        <v>16</v>
      </c>
      <c r="C52" s="71" t="s">
        <v>19</v>
      </c>
      <c r="D52" s="71">
        <v>10</v>
      </c>
      <c r="E52" s="101">
        <v>0</v>
      </c>
      <c r="F52" s="72">
        <f t="shared" si="2"/>
        <v>10</v>
      </c>
    </row>
    <row r="53" spans="1:6" x14ac:dyDescent="0.25">
      <c r="A53" s="70">
        <v>2026</v>
      </c>
      <c r="B53" s="71" t="s">
        <v>16</v>
      </c>
      <c r="C53" s="71" t="s">
        <v>20</v>
      </c>
      <c r="D53" s="71">
        <v>40</v>
      </c>
      <c r="E53" s="101">
        <v>9</v>
      </c>
      <c r="F53" s="72">
        <f t="shared" si="2"/>
        <v>31</v>
      </c>
    </row>
    <row r="54" spans="1:6" x14ac:dyDescent="0.25">
      <c r="A54" s="70">
        <v>2026</v>
      </c>
      <c r="B54" s="71" t="s">
        <v>16</v>
      </c>
      <c r="C54" s="71" t="s">
        <v>6</v>
      </c>
      <c r="D54" s="71">
        <v>12</v>
      </c>
      <c r="E54" s="101">
        <v>20</v>
      </c>
      <c r="F54" s="72">
        <f t="shared" si="2"/>
        <v>-8</v>
      </c>
    </row>
    <row r="55" spans="1:6" x14ac:dyDescent="0.25">
      <c r="A55" s="70">
        <v>2026</v>
      </c>
      <c r="B55" s="71" t="s">
        <v>16</v>
      </c>
      <c r="C55" s="71" t="s">
        <v>21</v>
      </c>
      <c r="D55" s="71">
        <v>4</v>
      </c>
      <c r="E55" s="101">
        <v>2</v>
      </c>
      <c r="F55" s="72">
        <f t="shared" si="2"/>
        <v>2</v>
      </c>
    </row>
    <row r="56" spans="1:6" x14ac:dyDescent="0.25">
      <c r="A56" s="70">
        <v>2026</v>
      </c>
      <c r="B56" s="71" t="s">
        <v>16</v>
      </c>
      <c r="C56" s="71" t="s">
        <v>7</v>
      </c>
      <c r="D56" s="71">
        <v>50</v>
      </c>
      <c r="E56" s="101">
        <v>38</v>
      </c>
      <c r="F56" s="72">
        <f t="shared" si="2"/>
        <v>12</v>
      </c>
    </row>
    <row r="57" spans="1:6" ht="15.75" thickBot="1" x14ac:dyDescent="0.3">
      <c r="A57" s="73">
        <v>2026</v>
      </c>
      <c r="B57" s="71" t="s">
        <v>16</v>
      </c>
      <c r="C57" s="74" t="s">
        <v>8</v>
      </c>
      <c r="D57" s="74">
        <v>25</v>
      </c>
      <c r="E57" s="102">
        <v>12</v>
      </c>
      <c r="F57" s="75">
        <f t="shared" si="2"/>
        <v>13</v>
      </c>
    </row>
    <row r="58" spans="1:6" ht="15.75" thickTop="1" x14ac:dyDescent="0.25">
      <c r="A58" s="6">
        <v>2026</v>
      </c>
      <c r="B58" s="7" t="s">
        <v>4</v>
      </c>
      <c r="C58" s="76" t="s">
        <v>17</v>
      </c>
      <c r="D58" s="7">
        <f>SUM(D50,D42,D34,D26,D18,D10,D2)</f>
        <v>675</v>
      </c>
      <c r="E58" s="76">
        <f>SUM(E50,E42,E34,E26,E18,E10,E2)</f>
        <v>370</v>
      </c>
      <c r="F58" s="8">
        <f t="shared" si="2"/>
        <v>305</v>
      </c>
    </row>
    <row r="59" spans="1:6" x14ac:dyDescent="0.25">
      <c r="A59" s="9">
        <v>2026</v>
      </c>
      <c r="B59" s="10" t="s">
        <v>4</v>
      </c>
      <c r="C59" s="77" t="s">
        <v>18</v>
      </c>
      <c r="D59" s="10">
        <f>SUM(D51,D43,D35,D27,D19,D11,D3)</f>
        <v>652</v>
      </c>
      <c r="E59" s="77">
        <f>SUM(E51,E43,E35,E27,E19,E11,E3)</f>
        <v>583</v>
      </c>
      <c r="F59" s="11">
        <f t="shared" si="2"/>
        <v>69</v>
      </c>
    </row>
    <row r="60" spans="1:6" x14ac:dyDescent="0.25">
      <c r="A60" s="9">
        <v>2026</v>
      </c>
      <c r="B60" s="10" t="s">
        <v>4</v>
      </c>
      <c r="C60" s="77" t="s">
        <v>19</v>
      </c>
      <c r="D60" s="10">
        <f>SUM(D52,D44,D36,D28,D20,D12,D4)</f>
        <v>135</v>
      </c>
      <c r="E60" s="77">
        <f>SUM(E52,E44,E36,E28,E20,E12,E4)</f>
        <v>0</v>
      </c>
      <c r="F60" s="11">
        <f t="shared" si="2"/>
        <v>135</v>
      </c>
    </row>
    <row r="61" spans="1:6" x14ac:dyDescent="0.25">
      <c r="A61" s="9">
        <v>2026</v>
      </c>
      <c r="B61" s="10" t="s">
        <v>4</v>
      </c>
      <c r="C61" s="77" t="s">
        <v>20</v>
      </c>
      <c r="D61" s="10">
        <f>SUM(D53,D45,D37,D29,D21,D13,D5)</f>
        <v>257</v>
      </c>
      <c r="E61" s="77">
        <f>SUM(E53,E45,E37,E29,E21,E13,E5)</f>
        <v>76</v>
      </c>
      <c r="F61" s="11">
        <f t="shared" si="2"/>
        <v>181</v>
      </c>
    </row>
    <row r="62" spans="1:6" x14ac:dyDescent="0.25">
      <c r="A62" s="9">
        <v>2026</v>
      </c>
      <c r="B62" s="10" t="s">
        <v>4</v>
      </c>
      <c r="C62" s="77" t="s">
        <v>6</v>
      </c>
      <c r="D62" s="10">
        <f>SUM(D54,D46,D38,D30,D22,D14,D6)</f>
        <v>134</v>
      </c>
      <c r="E62" s="77">
        <f>SUM(E54,E46,E38,E30,E22,E14,E6)</f>
        <v>58</v>
      </c>
      <c r="F62" s="11">
        <f t="shared" si="2"/>
        <v>76</v>
      </c>
    </row>
    <row r="63" spans="1:6" x14ac:dyDescent="0.25">
      <c r="A63" s="9">
        <v>2026</v>
      </c>
      <c r="B63" s="10" t="s">
        <v>4</v>
      </c>
      <c r="C63" s="77" t="s">
        <v>21</v>
      </c>
      <c r="D63" s="10">
        <f>SUM(D55,D47,D39,D31,D23,D15,D7)</f>
        <v>28</v>
      </c>
      <c r="E63" s="77">
        <f>SUM(E55,E47,E39,E31,E23,E15,E7)</f>
        <v>15</v>
      </c>
      <c r="F63" s="11">
        <f t="shared" si="2"/>
        <v>13</v>
      </c>
    </row>
    <row r="64" spans="1:6" x14ac:dyDescent="0.25">
      <c r="A64" s="9">
        <v>2026</v>
      </c>
      <c r="B64" s="10" t="s">
        <v>4</v>
      </c>
      <c r="C64" s="77" t="s">
        <v>7</v>
      </c>
      <c r="D64" s="10">
        <f>SUM(D56,D48,D40,D32,D24,D16,D8)</f>
        <v>296</v>
      </c>
      <c r="E64" s="77">
        <f>SUM(E56,E48,E40,E32,E24,E16,E8)</f>
        <v>247</v>
      </c>
      <c r="F64" s="11">
        <f t="shared" si="2"/>
        <v>49</v>
      </c>
    </row>
    <row r="65" spans="1:6" ht="15.75" thickBot="1" x14ac:dyDescent="0.3">
      <c r="A65" s="12">
        <v>2026</v>
      </c>
      <c r="B65" s="13" t="s">
        <v>4</v>
      </c>
      <c r="C65" s="78" t="s">
        <v>8</v>
      </c>
      <c r="D65" s="10">
        <f>SUM(D57,D49,D41,D33,D25,D17,D9)</f>
        <v>190</v>
      </c>
      <c r="E65" s="77">
        <f>SUM(E57,E49,E41,E33,E25,E17,E9)</f>
        <v>84</v>
      </c>
      <c r="F65" s="11">
        <f t="shared" si="2"/>
        <v>106</v>
      </c>
    </row>
    <row r="66" spans="1:6" ht="15.75" thickTop="1" x14ac:dyDescent="0.25">
      <c r="A66" s="18">
        <v>2027</v>
      </c>
      <c r="B66" s="2" t="s">
        <v>11</v>
      </c>
      <c r="C66" s="2" t="s">
        <v>17</v>
      </c>
      <c r="D66" s="2"/>
      <c r="E66" s="19"/>
    </row>
    <row r="67" spans="1:6" x14ac:dyDescent="0.25">
      <c r="A67" s="16">
        <v>2027</v>
      </c>
      <c r="B67" s="1" t="s">
        <v>11</v>
      </c>
      <c r="C67" s="1" t="s">
        <v>18</v>
      </c>
      <c r="D67" s="1"/>
      <c r="E67" s="4"/>
    </row>
    <row r="68" spans="1:6" x14ac:dyDescent="0.25">
      <c r="A68" s="16">
        <v>2027</v>
      </c>
      <c r="B68" s="1" t="s">
        <v>11</v>
      </c>
      <c r="C68" s="1" t="s">
        <v>19</v>
      </c>
      <c r="D68" s="1"/>
      <c r="E68" s="4"/>
    </row>
    <row r="69" spans="1:6" x14ac:dyDescent="0.25">
      <c r="A69" s="16">
        <v>2027</v>
      </c>
      <c r="B69" s="1" t="s">
        <v>11</v>
      </c>
      <c r="C69" s="1" t="s">
        <v>20</v>
      </c>
      <c r="D69" s="1"/>
      <c r="E69" s="4"/>
    </row>
    <row r="70" spans="1:6" x14ac:dyDescent="0.25">
      <c r="A70" s="16">
        <v>2027</v>
      </c>
      <c r="B70" s="1" t="s">
        <v>11</v>
      </c>
      <c r="C70" s="1" t="s">
        <v>6</v>
      </c>
      <c r="D70" s="1"/>
      <c r="E70" s="4"/>
    </row>
    <row r="71" spans="1:6" x14ac:dyDescent="0.25">
      <c r="A71" s="16">
        <v>2027</v>
      </c>
      <c r="B71" s="1" t="s">
        <v>11</v>
      </c>
      <c r="C71" s="1" t="s">
        <v>21</v>
      </c>
      <c r="D71" s="1"/>
      <c r="E71" s="4"/>
    </row>
    <row r="72" spans="1:6" x14ac:dyDescent="0.25">
      <c r="A72" s="16">
        <v>2027</v>
      </c>
      <c r="B72" s="1" t="s">
        <v>11</v>
      </c>
      <c r="C72" s="1" t="s">
        <v>7</v>
      </c>
      <c r="D72" s="1"/>
      <c r="E72" s="4"/>
    </row>
    <row r="73" spans="1:6" ht="15.75" thickBot="1" x14ac:dyDescent="0.3">
      <c r="A73" s="17">
        <v>2027</v>
      </c>
      <c r="B73" s="1" t="s">
        <v>11</v>
      </c>
      <c r="C73" s="3" t="s">
        <v>8</v>
      </c>
      <c r="D73" s="3"/>
      <c r="E73" s="5"/>
    </row>
    <row r="74" spans="1:6" ht="15.75" thickTop="1" x14ac:dyDescent="0.25">
      <c r="A74" s="18">
        <v>2027</v>
      </c>
      <c r="B74" s="2" t="s">
        <v>12</v>
      </c>
      <c r="C74" s="2" t="s">
        <v>17</v>
      </c>
      <c r="D74" s="2"/>
      <c r="E74" s="19"/>
    </row>
    <row r="75" spans="1:6" x14ac:dyDescent="0.25">
      <c r="A75" s="16">
        <v>2027</v>
      </c>
      <c r="B75" s="1" t="s">
        <v>12</v>
      </c>
      <c r="C75" s="1" t="s">
        <v>18</v>
      </c>
      <c r="D75" s="1"/>
      <c r="E75" s="4"/>
    </row>
    <row r="76" spans="1:6" x14ac:dyDescent="0.25">
      <c r="A76" s="16">
        <v>2027</v>
      </c>
      <c r="B76" s="1" t="s">
        <v>12</v>
      </c>
      <c r="C76" s="1" t="s">
        <v>19</v>
      </c>
      <c r="D76" s="1"/>
      <c r="E76" s="4"/>
    </row>
    <row r="77" spans="1:6" x14ac:dyDescent="0.25">
      <c r="A77" s="16">
        <v>2027</v>
      </c>
      <c r="B77" s="1" t="s">
        <v>12</v>
      </c>
      <c r="C77" s="1" t="s">
        <v>20</v>
      </c>
      <c r="D77" s="1"/>
      <c r="E77" s="4"/>
    </row>
    <row r="78" spans="1:6" x14ac:dyDescent="0.25">
      <c r="A78" s="16">
        <v>2027</v>
      </c>
      <c r="B78" s="1" t="s">
        <v>12</v>
      </c>
      <c r="C78" s="1" t="s">
        <v>6</v>
      </c>
      <c r="D78" s="1"/>
      <c r="E78" s="4"/>
    </row>
    <row r="79" spans="1:6" x14ac:dyDescent="0.25">
      <c r="A79" s="16">
        <v>2027</v>
      </c>
      <c r="B79" s="1" t="s">
        <v>12</v>
      </c>
      <c r="C79" s="1" t="s">
        <v>21</v>
      </c>
      <c r="D79" s="1"/>
      <c r="E79" s="4"/>
    </row>
    <row r="80" spans="1:6" x14ac:dyDescent="0.25">
      <c r="A80" s="16">
        <v>2027</v>
      </c>
      <c r="B80" s="1" t="s">
        <v>12</v>
      </c>
      <c r="C80" s="1" t="s">
        <v>7</v>
      </c>
      <c r="D80" s="1"/>
      <c r="E80" s="4"/>
    </row>
    <row r="81" spans="1:5" ht="15.75" thickBot="1" x14ac:dyDescent="0.3">
      <c r="A81" s="17">
        <v>2027</v>
      </c>
      <c r="B81" s="1" t="s">
        <v>12</v>
      </c>
      <c r="C81" s="3" t="s">
        <v>8</v>
      </c>
      <c r="D81" s="3"/>
      <c r="E81" s="5"/>
    </row>
    <row r="82" spans="1:5" ht="15.75" thickTop="1" x14ac:dyDescent="0.25">
      <c r="A82" s="18">
        <v>2027</v>
      </c>
      <c r="B82" s="2" t="s">
        <v>13</v>
      </c>
      <c r="C82" s="2" t="s">
        <v>17</v>
      </c>
      <c r="D82" s="2"/>
      <c r="E82" s="19"/>
    </row>
    <row r="83" spans="1:5" x14ac:dyDescent="0.25">
      <c r="A83" s="16">
        <v>2027</v>
      </c>
      <c r="B83" s="1" t="s">
        <v>13</v>
      </c>
      <c r="C83" s="1" t="s">
        <v>18</v>
      </c>
      <c r="D83" s="1"/>
      <c r="E83" s="4"/>
    </row>
    <row r="84" spans="1:5" x14ac:dyDescent="0.25">
      <c r="A84" s="16">
        <v>2027</v>
      </c>
      <c r="B84" s="1" t="s">
        <v>13</v>
      </c>
      <c r="C84" s="1" t="s">
        <v>19</v>
      </c>
      <c r="D84" s="1"/>
      <c r="E84" s="4"/>
    </row>
    <row r="85" spans="1:5" x14ac:dyDescent="0.25">
      <c r="A85" s="16">
        <v>2027</v>
      </c>
      <c r="B85" s="1" t="s">
        <v>13</v>
      </c>
      <c r="C85" s="1" t="s">
        <v>20</v>
      </c>
      <c r="D85" s="1"/>
      <c r="E85" s="4"/>
    </row>
    <row r="86" spans="1:5" x14ac:dyDescent="0.25">
      <c r="A86" s="16">
        <v>2027</v>
      </c>
      <c r="B86" s="1" t="s">
        <v>13</v>
      </c>
      <c r="C86" s="1" t="s">
        <v>6</v>
      </c>
      <c r="D86" s="1"/>
      <c r="E86" s="4"/>
    </row>
    <row r="87" spans="1:5" x14ac:dyDescent="0.25">
      <c r="A87" s="16">
        <v>2027</v>
      </c>
      <c r="B87" s="1" t="s">
        <v>13</v>
      </c>
      <c r="C87" s="1" t="s">
        <v>21</v>
      </c>
      <c r="D87" s="1"/>
      <c r="E87" s="4"/>
    </row>
    <row r="88" spans="1:5" x14ac:dyDescent="0.25">
      <c r="A88" s="16">
        <v>2027</v>
      </c>
      <c r="B88" s="1" t="s">
        <v>13</v>
      </c>
      <c r="C88" s="1" t="s">
        <v>7</v>
      </c>
      <c r="D88" s="1"/>
      <c r="E88" s="4"/>
    </row>
    <row r="89" spans="1:5" ht="15.75" thickBot="1" x14ac:dyDescent="0.3">
      <c r="A89" s="17">
        <v>2027</v>
      </c>
      <c r="B89" s="1" t="s">
        <v>13</v>
      </c>
      <c r="C89" s="3" t="s">
        <v>8</v>
      </c>
      <c r="D89" s="3"/>
      <c r="E89" s="5"/>
    </row>
    <row r="90" spans="1:5" ht="15.75" thickTop="1" x14ac:dyDescent="0.25">
      <c r="A90" s="18">
        <v>2027</v>
      </c>
      <c r="B90" s="2" t="s">
        <v>14</v>
      </c>
      <c r="C90" s="2" t="s">
        <v>17</v>
      </c>
      <c r="D90" s="2"/>
      <c r="E90" s="19"/>
    </row>
    <row r="91" spans="1:5" x14ac:dyDescent="0.25">
      <c r="A91" s="16">
        <v>2027</v>
      </c>
      <c r="B91" s="1" t="s">
        <v>14</v>
      </c>
      <c r="C91" s="1" t="s">
        <v>18</v>
      </c>
      <c r="D91" s="1"/>
      <c r="E91" s="4"/>
    </row>
    <row r="92" spans="1:5" x14ac:dyDescent="0.25">
      <c r="A92" s="16">
        <v>2027</v>
      </c>
      <c r="B92" s="1" t="s">
        <v>14</v>
      </c>
      <c r="C92" s="1" t="s">
        <v>19</v>
      </c>
      <c r="D92" s="1"/>
      <c r="E92" s="4"/>
    </row>
    <row r="93" spans="1:5" x14ac:dyDescent="0.25">
      <c r="A93" s="16">
        <v>2027</v>
      </c>
      <c r="B93" s="1" t="s">
        <v>14</v>
      </c>
      <c r="C93" s="1" t="s">
        <v>20</v>
      </c>
      <c r="D93" s="1"/>
      <c r="E93" s="4"/>
    </row>
    <row r="94" spans="1:5" x14ac:dyDescent="0.25">
      <c r="A94" s="16">
        <v>2027</v>
      </c>
      <c r="B94" s="1" t="s">
        <v>14</v>
      </c>
      <c r="C94" s="1" t="s">
        <v>6</v>
      </c>
      <c r="D94" s="1"/>
      <c r="E94" s="4"/>
    </row>
    <row r="95" spans="1:5" x14ac:dyDescent="0.25">
      <c r="A95" s="16">
        <v>2027</v>
      </c>
      <c r="B95" s="1" t="s">
        <v>14</v>
      </c>
      <c r="C95" s="1" t="s">
        <v>21</v>
      </c>
      <c r="D95" s="1"/>
      <c r="E95" s="4"/>
    </row>
    <row r="96" spans="1:5" x14ac:dyDescent="0.25">
      <c r="A96" s="16">
        <v>2027</v>
      </c>
      <c r="B96" s="1" t="s">
        <v>14</v>
      </c>
      <c r="C96" s="1" t="s">
        <v>7</v>
      </c>
      <c r="D96" s="1"/>
      <c r="E96" s="4"/>
    </row>
    <row r="97" spans="1:5" ht="15.75" thickBot="1" x14ac:dyDescent="0.3">
      <c r="A97" s="17">
        <v>2027</v>
      </c>
      <c r="B97" s="1" t="s">
        <v>14</v>
      </c>
      <c r="C97" s="3" t="s">
        <v>8</v>
      </c>
      <c r="D97" s="3"/>
      <c r="E97" s="5"/>
    </row>
    <row r="98" spans="1:5" ht="15.75" thickTop="1" x14ac:dyDescent="0.25">
      <c r="A98" s="18">
        <v>2027</v>
      </c>
      <c r="B98" s="2" t="s">
        <v>15</v>
      </c>
      <c r="C98" s="2" t="s">
        <v>17</v>
      </c>
      <c r="D98" s="2">
        <v>150</v>
      </c>
      <c r="E98" s="19"/>
    </row>
    <row r="99" spans="1:5" x14ac:dyDescent="0.25">
      <c r="A99" s="16">
        <v>2027</v>
      </c>
      <c r="B99" s="1" t="s">
        <v>15</v>
      </c>
      <c r="C99" s="1" t="s">
        <v>18</v>
      </c>
      <c r="D99" s="1">
        <v>160</v>
      </c>
      <c r="E99" s="4"/>
    </row>
    <row r="100" spans="1:5" x14ac:dyDescent="0.25">
      <c r="A100" s="16">
        <v>2027</v>
      </c>
      <c r="B100" s="1" t="s">
        <v>15</v>
      </c>
      <c r="C100" s="1" t="s">
        <v>19</v>
      </c>
      <c r="D100" s="1">
        <v>40</v>
      </c>
      <c r="E100" s="4"/>
    </row>
    <row r="101" spans="1:5" x14ac:dyDescent="0.25">
      <c r="A101" s="16">
        <v>2027</v>
      </c>
      <c r="B101" s="1" t="s">
        <v>15</v>
      </c>
      <c r="C101" s="1" t="s">
        <v>20</v>
      </c>
      <c r="D101" s="1">
        <v>35</v>
      </c>
      <c r="E101" s="4"/>
    </row>
    <row r="102" spans="1:5" x14ac:dyDescent="0.25">
      <c r="A102" s="16">
        <v>2027</v>
      </c>
      <c r="B102" s="1" t="s">
        <v>15</v>
      </c>
      <c r="C102" s="1" t="s">
        <v>6</v>
      </c>
      <c r="D102" s="1">
        <v>25</v>
      </c>
      <c r="E102" s="4"/>
    </row>
    <row r="103" spans="1:5" x14ac:dyDescent="0.25">
      <c r="A103" s="16">
        <v>2027</v>
      </c>
      <c r="B103" s="1" t="s">
        <v>15</v>
      </c>
      <c r="C103" s="1" t="s">
        <v>21</v>
      </c>
      <c r="D103" s="1">
        <v>3</v>
      </c>
      <c r="E103" s="4"/>
    </row>
    <row r="104" spans="1:5" x14ac:dyDescent="0.25">
      <c r="A104" s="16">
        <v>2027</v>
      </c>
      <c r="B104" s="1" t="s">
        <v>15</v>
      </c>
      <c r="C104" s="1" t="s">
        <v>7</v>
      </c>
      <c r="D104" s="1">
        <v>60</v>
      </c>
      <c r="E104" s="4"/>
    </row>
    <row r="105" spans="1:5" ht="15.75" thickBot="1" x14ac:dyDescent="0.3">
      <c r="A105" s="17">
        <v>2027</v>
      </c>
      <c r="B105" s="1" t="s">
        <v>15</v>
      </c>
      <c r="C105" s="3" t="s">
        <v>8</v>
      </c>
      <c r="D105" s="3">
        <v>40</v>
      </c>
      <c r="E105" s="5"/>
    </row>
    <row r="106" spans="1:5" ht="15.75" thickTop="1" x14ac:dyDescent="0.25">
      <c r="A106" s="18">
        <v>2027</v>
      </c>
      <c r="B106" s="2" t="s">
        <v>9</v>
      </c>
      <c r="C106" s="2" t="s">
        <v>17</v>
      </c>
      <c r="D106" s="2"/>
      <c r="E106" s="19"/>
    </row>
    <row r="107" spans="1:5" x14ac:dyDescent="0.25">
      <c r="A107" s="16">
        <v>2027</v>
      </c>
      <c r="B107" s="1" t="s">
        <v>9</v>
      </c>
      <c r="C107" s="1" t="s">
        <v>18</v>
      </c>
      <c r="D107" s="1"/>
      <c r="E107" s="4"/>
    </row>
    <row r="108" spans="1:5" x14ac:dyDescent="0.25">
      <c r="A108" s="16">
        <v>2027</v>
      </c>
      <c r="B108" s="1" t="s">
        <v>9</v>
      </c>
      <c r="C108" s="1" t="s">
        <v>19</v>
      </c>
      <c r="D108" s="1"/>
      <c r="E108" s="4"/>
    </row>
    <row r="109" spans="1:5" x14ac:dyDescent="0.25">
      <c r="A109" s="16">
        <v>2027</v>
      </c>
      <c r="B109" s="1" t="s">
        <v>9</v>
      </c>
      <c r="C109" s="1" t="s">
        <v>20</v>
      </c>
      <c r="D109" s="1"/>
      <c r="E109" s="4"/>
    </row>
    <row r="110" spans="1:5" x14ac:dyDescent="0.25">
      <c r="A110" s="16">
        <v>2027</v>
      </c>
      <c r="B110" s="1" t="s">
        <v>9</v>
      </c>
      <c r="C110" s="1" t="s">
        <v>6</v>
      </c>
      <c r="D110" s="1"/>
      <c r="E110" s="4"/>
    </row>
    <row r="111" spans="1:5" x14ac:dyDescent="0.25">
      <c r="A111" s="16">
        <v>2027</v>
      </c>
      <c r="B111" s="1" t="s">
        <v>9</v>
      </c>
      <c r="C111" s="1" t="s">
        <v>21</v>
      </c>
      <c r="D111" s="1"/>
      <c r="E111" s="4"/>
    </row>
    <row r="112" spans="1:5" x14ac:dyDescent="0.25">
      <c r="A112" s="16">
        <v>2027</v>
      </c>
      <c r="B112" s="1" t="s">
        <v>9</v>
      </c>
      <c r="C112" s="1" t="s">
        <v>7</v>
      </c>
      <c r="D112" s="1"/>
      <c r="E112" s="4"/>
    </row>
    <row r="113" spans="1:5" ht="15.75" thickBot="1" x14ac:dyDescent="0.3">
      <c r="A113" s="17">
        <v>2027</v>
      </c>
      <c r="B113" s="3" t="s">
        <v>9</v>
      </c>
      <c r="C113" s="3" t="s">
        <v>8</v>
      </c>
      <c r="D113" s="3"/>
      <c r="E113" s="5"/>
    </row>
    <row r="114" spans="1:5" ht="15.75" thickTop="1" x14ac:dyDescent="0.25">
      <c r="A114" s="18">
        <v>2027</v>
      </c>
      <c r="B114" s="2" t="s">
        <v>16</v>
      </c>
      <c r="C114" s="2" t="s">
        <v>17</v>
      </c>
      <c r="D114" s="2"/>
      <c r="E114" s="19"/>
    </row>
    <row r="115" spans="1:5" x14ac:dyDescent="0.25">
      <c r="A115" s="16">
        <v>2027</v>
      </c>
      <c r="B115" s="1" t="s">
        <v>16</v>
      </c>
      <c r="C115" s="1" t="s">
        <v>18</v>
      </c>
      <c r="D115" s="1"/>
      <c r="E115" s="4"/>
    </row>
    <row r="116" spans="1:5" x14ac:dyDescent="0.25">
      <c r="A116" s="16">
        <v>2027</v>
      </c>
      <c r="B116" s="1" t="s">
        <v>16</v>
      </c>
      <c r="C116" s="1" t="s">
        <v>19</v>
      </c>
      <c r="D116" s="1"/>
      <c r="E116" s="4"/>
    </row>
    <row r="117" spans="1:5" x14ac:dyDescent="0.25">
      <c r="A117" s="16">
        <v>2027</v>
      </c>
      <c r="B117" s="1" t="s">
        <v>16</v>
      </c>
      <c r="C117" s="1" t="s">
        <v>20</v>
      </c>
      <c r="D117" s="1"/>
      <c r="E117" s="4"/>
    </row>
    <row r="118" spans="1:5" x14ac:dyDescent="0.25">
      <c r="A118" s="16">
        <v>2027</v>
      </c>
      <c r="B118" s="1" t="s">
        <v>16</v>
      </c>
      <c r="C118" s="1" t="s">
        <v>6</v>
      </c>
      <c r="D118" s="1"/>
      <c r="E118" s="4"/>
    </row>
    <row r="119" spans="1:5" x14ac:dyDescent="0.25">
      <c r="A119" s="16">
        <v>2027</v>
      </c>
      <c r="B119" s="1" t="s">
        <v>16</v>
      </c>
      <c r="C119" s="1" t="s">
        <v>21</v>
      </c>
      <c r="D119" s="1"/>
      <c r="E119" s="4"/>
    </row>
    <row r="120" spans="1:5" x14ac:dyDescent="0.25">
      <c r="A120" s="16">
        <v>2027</v>
      </c>
      <c r="B120" s="1" t="s">
        <v>16</v>
      </c>
      <c r="C120" s="1" t="s">
        <v>7</v>
      </c>
      <c r="D120" s="1"/>
      <c r="E120" s="4"/>
    </row>
    <row r="121" spans="1:5" ht="15.75" thickBot="1" x14ac:dyDescent="0.3">
      <c r="A121" s="17">
        <v>2027</v>
      </c>
      <c r="B121" s="1" t="s">
        <v>16</v>
      </c>
      <c r="C121" s="3" t="s">
        <v>8</v>
      </c>
      <c r="D121" s="20"/>
      <c r="E121" s="21"/>
    </row>
    <row r="122" spans="1:5" ht="15.75" thickTop="1" x14ac:dyDescent="0.25">
      <c r="A122" s="18">
        <v>2027</v>
      </c>
      <c r="B122" s="2" t="s">
        <v>4</v>
      </c>
      <c r="C122" s="2" t="s">
        <v>17</v>
      </c>
      <c r="D122" s="2">
        <f t="shared" ref="D122:E122" si="3">SUM(D114,D106,D98,D90,D82,D74,D66)</f>
        <v>150</v>
      </c>
      <c r="E122" s="19">
        <f t="shared" si="3"/>
        <v>0</v>
      </c>
    </row>
    <row r="123" spans="1:5" x14ac:dyDescent="0.25">
      <c r="A123" s="16">
        <v>2027</v>
      </c>
      <c r="B123" s="1" t="s">
        <v>4</v>
      </c>
      <c r="C123" s="1" t="s">
        <v>18</v>
      </c>
      <c r="D123" s="1">
        <f t="shared" ref="D123:E123" si="4">SUM(D115,D107,D99,D91,D83,D75,D67)</f>
        <v>160</v>
      </c>
      <c r="E123" s="4">
        <f t="shared" si="4"/>
        <v>0</v>
      </c>
    </row>
    <row r="124" spans="1:5" x14ac:dyDescent="0.25">
      <c r="A124" s="16">
        <v>2027</v>
      </c>
      <c r="B124" s="1" t="s">
        <v>4</v>
      </c>
      <c r="C124" s="1" t="s">
        <v>19</v>
      </c>
      <c r="D124" s="1">
        <f t="shared" ref="D124:E124" si="5">SUM(D116,D108,D100,D92,D84,D76,D68)</f>
        <v>40</v>
      </c>
      <c r="E124" s="4">
        <f t="shared" si="5"/>
        <v>0</v>
      </c>
    </row>
    <row r="125" spans="1:5" x14ac:dyDescent="0.25">
      <c r="A125" s="16">
        <v>2027</v>
      </c>
      <c r="B125" s="1" t="s">
        <v>4</v>
      </c>
      <c r="C125" s="1" t="s">
        <v>20</v>
      </c>
      <c r="D125" s="1">
        <f t="shared" ref="D125:E125" si="6">SUM(D117,D109,D101,D93,D85,D77,D69)</f>
        <v>35</v>
      </c>
      <c r="E125" s="4">
        <f t="shared" si="6"/>
        <v>0</v>
      </c>
    </row>
    <row r="126" spans="1:5" x14ac:dyDescent="0.25">
      <c r="A126" s="16">
        <v>2027</v>
      </c>
      <c r="B126" s="1" t="s">
        <v>4</v>
      </c>
      <c r="C126" s="1" t="s">
        <v>6</v>
      </c>
      <c r="D126" s="1">
        <f t="shared" ref="D126:E126" si="7">SUM(D118,D110,D102,D94,D86,D78,D70)</f>
        <v>25</v>
      </c>
      <c r="E126" s="4">
        <f t="shared" si="7"/>
        <v>0</v>
      </c>
    </row>
    <row r="127" spans="1:5" x14ac:dyDescent="0.25">
      <c r="A127" s="16">
        <v>2027</v>
      </c>
      <c r="B127" s="1" t="s">
        <v>4</v>
      </c>
      <c r="C127" s="1" t="s">
        <v>21</v>
      </c>
      <c r="D127" s="1">
        <f t="shared" ref="D127:E127" si="8">SUM(D119,D111,D103,D95,D87,D79,D71)</f>
        <v>3</v>
      </c>
      <c r="E127" s="4">
        <f t="shared" si="8"/>
        <v>0</v>
      </c>
    </row>
    <row r="128" spans="1:5" x14ac:dyDescent="0.25">
      <c r="A128" s="16">
        <v>2027</v>
      </c>
      <c r="B128" s="1" t="s">
        <v>4</v>
      </c>
      <c r="C128" s="1" t="s">
        <v>7</v>
      </c>
      <c r="D128" s="1">
        <f t="shared" ref="D128:E128" si="9">SUM(D120,D112,D104,D96,D88,D80,D72)</f>
        <v>60</v>
      </c>
      <c r="E128" s="4">
        <f t="shared" si="9"/>
        <v>0</v>
      </c>
    </row>
    <row r="129" spans="1:5" ht="15.75" thickBot="1" x14ac:dyDescent="0.3">
      <c r="A129" s="17">
        <v>2027</v>
      </c>
      <c r="B129" s="3" t="s">
        <v>4</v>
      </c>
      <c r="C129" s="3" t="s">
        <v>8</v>
      </c>
      <c r="D129" s="3">
        <f>SUM(D121,D113,D105,D97,D89,D81,D73)</f>
        <v>40</v>
      </c>
      <c r="E129" s="5">
        <f>SUM(E121,E113,E105,E97,E89,E81,E73)</f>
        <v>0</v>
      </c>
    </row>
    <row r="130" spans="1:5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Pedro da Silva</dc:creator>
  <cp:lastModifiedBy>Marcos Pedro da Silva</cp:lastModifiedBy>
  <dcterms:created xsi:type="dcterms:W3CDTF">2026-09-29T22:18:04Z</dcterms:created>
  <dcterms:modified xsi:type="dcterms:W3CDTF">2026-10-16T19:34:40Z</dcterms:modified>
</cp:coreProperties>
</file>